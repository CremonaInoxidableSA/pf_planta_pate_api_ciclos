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remonainoxidablesrl.sharepoint.com/Documentos compartidos/PROYECTOS/DS-PF_CH_Pate/Documentos/"/>
    </mc:Choice>
  </mc:AlternateContent>
  <xr:revisionPtr revIDLastSave="138" documentId="13_ncr:1_{B90B5DD9-AEB3-418F-987F-F0B90E72384D}" xr6:coauthVersionLast="47" xr6:coauthVersionMax="47" xr10:uidLastSave="{021875DC-00CB-409C-B496-B88FD9EE7340}"/>
  <bookViews>
    <workbookView xWindow="-120" yWindow="-120" windowWidth="29040" windowHeight="15720" xr2:uid="{00000000-000D-0000-FFFF-FFFF00000000}"/>
  </bookViews>
  <sheets>
    <sheet name="PRODUCTIVIDAD" sheetId="1" r:id="rId1"/>
    <sheet name="LISTA CICLOS" sheetId="2" r:id="rId2"/>
    <sheet name="LOT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G8" i="1" s="1"/>
  <c r="F8" i="1"/>
  <c r="C9" i="1"/>
  <c r="D9" i="1"/>
  <c r="E9" i="1"/>
  <c r="G9" i="1" s="1"/>
  <c r="F9" i="1"/>
  <c r="C10" i="1"/>
  <c r="D10" i="1"/>
  <c r="E10" i="1"/>
  <c r="G10" i="1" s="1"/>
  <c r="F10" i="1"/>
  <c r="C11" i="1"/>
  <c r="D11" i="1"/>
  <c r="E11" i="1"/>
  <c r="F11" i="1"/>
  <c r="G11" i="1" s="1"/>
  <c r="C12" i="1"/>
  <c r="D12" i="1"/>
  <c r="E12" i="1"/>
  <c r="G12" i="1" s="1"/>
  <c r="F12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I8" i="3"/>
  <c r="K8" i="3"/>
  <c r="I9" i="3"/>
  <c r="K9" i="3"/>
  <c r="I10" i="3"/>
  <c r="K10" i="3"/>
  <c r="I11" i="3"/>
  <c r="K11" i="3"/>
  <c r="I12" i="3"/>
  <c r="K12" i="3" s="1"/>
  <c r="I13" i="3"/>
  <c r="K13" i="3"/>
  <c r="I14" i="3"/>
  <c r="K14" i="3"/>
  <c r="I15" i="3"/>
  <c r="K15" i="3"/>
  <c r="I16" i="3"/>
  <c r="K16" i="3"/>
  <c r="I17" i="3"/>
  <c r="K17" i="3"/>
  <c r="H5" i="2"/>
  <c r="G5" i="2"/>
  <c r="F5" i="2"/>
  <c r="H4" i="2"/>
  <c r="G4" i="2"/>
  <c r="F4" i="2"/>
  <c r="D13" i="1" l="1"/>
  <c r="C13" i="1"/>
  <c r="F13" i="1"/>
  <c r="E13" i="1"/>
  <c r="G13" i="1" s="1"/>
</calcChain>
</file>

<file path=xl/sharedStrings.xml><?xml version="1.0" encoding="utf-8"?>
<sst xmlns="http://schemas.openxmlformats.org/spreadsheetml/2006/main" count="202" uniqueCount="63">
  <si>
    <t>RESUMEN DE PRODUCTIVIDAD | CREMINOX</t>
  </si>
  <si>
    <t>Fecha inicial de filtrado:</t>
  </si>
  <si>
    <t>2026-04-07</t>
  </si>
  <si>
    <t>Fecha final de filtrado:</t>
  </si>
  <si>
    <t>Buscar</t>
  </si>
  <si>
    <t>Todos los equipos - L2</t>
  </si>
  <si>
    <t>ID RECETA</t>
  </si>
  <si>
    <t>RECETA</t>
  </si>
  <si>
    <t>CANTIDAD CICLOS</t>
  </si>
  <si>
    <t>CANTIDAD TORRES</t>
  </si>
  <si>
    <t>TIEMPO UTIL  [HH:MM:SS]</t>
  </si>
  <si>
    <t>PESO TOTAL [KG]</t>
  </si>
  <si>
    <t>Kilos por hora
producidos [kg/h]</t>
  </si>
  <si>
    <t>RECETA_02</t>
  </si>
  <si>
    <t>RECETA_03</t>
  </si>
  <si>
    <t>RECETA_05</t>
  </si>
  <si>
    <t>RECETA_06</t>
  </si>
  <si>
    <t>RECETA_07</t>
  </si>
  <si>
    <t>TOTALES</t>
  </si>
  <si>
    <t>LISTA DE CICLOS DEL PERÍODO</t>
  </si>
  <si>
    <t>ESTADOS</t>
  </si>
  <si>
    <t>TOTAL [KG]</t>
  </si>
  <si>
    <t>FINALIZADOS</t>
  </si>
  <si>
    <t>CANCELADOS</t>
  </si>
  <si>
    <t>ID CICLO</t>
  </si>
  <si>
    <t>EQUIPO</t>
  </si>
  <si>
    <t>LINEA</t>
  </si>
  <si>
    <t xml:space="preserve">LOTE </t>
  </si>
  <si>
    <t>PESO [KG]</t>
  </si>
  <si>
    <t>ESTADO</t>
  </si>
  <si>
    <t>INICIO [AAAA-MM-DD HH:MM:SS]</t>
  </si>
  <si>
    <t>FIN [AAAA-MM-DD HH:MM:SS]</t>
  </si>
  <si>
    <t>TIEMPO TRANSCURRIDO [HH:MM:SS]</t>
  </si>
  <si>
    <t>Cocina 2-L2</t>
  </si>
  <si>
    <t>L2</t>
  </si>
  <si>
    <t>COC-02-C2201</t>
  </si>
  <si>
    <t>FINALIZADO</t>
  </si>
  <si>
    <t>COC-02-C2202</t>
  </si>
  <si>
    <t>Enfriador 3-L2</t>
  </si>
  <si>
    <t>COC-02-C2203</t>
  </si>
  <si>
    <t>Enfriador 4-L2</t>
  </si>
  <si>
    <t>COC-02-C2204</t>
  </si>
  <si>
    <t>Enfriador 1-L2</t>
  </si>
  <si>
    <t>COC-02-C2205</t>
  </si>
  <si>
    <t>COC-02-C2206</t>
  </si>
  <si>
    <t>COC-02-C2207</t>
  </si>
  <si>
    <t>COC-02-C2208</t>
  </si>
  <si>
    <t>COC-02-C2209</t>
  </si>
  <si>
    <t>COC-02-C2210</t>
  </si>
  <si>
    <t>TRAZABILIDAD DE LOTES | COCINA + ENFRIADO</t>
  </si>
  <si>
    <t>LOTE</t>
  </si>
  <si>
    <t>COCINA</t>
  </si>
  <si>
    <t>ENFRIADOR</t>
  </si>
  <si>
    <t>INICIO</t>
  </si>
  <si>
    <t>FIN</t>
  </si>
  <si>
    <t>PESO</t>
  </si>
  <si>
    <t>TIEMPO TRANSCURRIDO</t>
  </si>
  <si>
    <t>TIEMPO MUERTO</t>
  </si>
  <si>
    <t xml:space="preserve">TIEMPO UTIL </t>
  </si>
  <si>
    <t>Cocina 2 -L2</t>
  </si>
  <si>
    <t>Enfriador 3 -L2</t>
  </si>
  <si>
    <t>Enfriador 4 -L2</t>
  </si>
  <si>
    <t>Enfriador 1 -L2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</si>
</sst>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59996337778862885"/>
        <bgColor indexed="65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22" fontId="0" fillId="0" borderId="0" xfId="0" applyNumberFormat="1"/>
    <xf numFmtId="21" fontId="0" fillId="0" borderId="1" xfId="0" applyNumberFormat="1" applyBorder="1"/>
    <xf numFmtId="46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6" fontId="0" fillId="0" borderId="1" xfId="0" applyNumberForma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46" fontId="3" fillId="0" borderId="2" xfId="0" applyNumberFormat="1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266696</xdr:colOff>
      <xdr:row>2</xdr:row>
      <xdr:rowOff>0</xdr:rowOff>
    </xdr:from>
    <xdr:ext cx="2438404" cy="6096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8671" y="523875"/>
          <a:ext cx="2438404" cy="609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95250</xdr:colOff>
      <xdr:row>1</xdr:row>
      <xdr:rowOff>152400</xdr:rowOff>
    </xdr:from>
    <xdr:ext cx="2228850" cy="438150"/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1628775</xdr:colOff>
      <xdr:row>1</xdr:row>
      <xdr:rowOff>142875</xdr:rowOff>
    </xdr:from>
    <xdr:ext cx="2228850" cy="438150"/>
    <xdr:pic>
      <xdr:nvPicPr>
        <xdr:cNvPr id="2" name="/xl/media/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Productividad" displayName="ResumenProductividad" ref="A7:G13">
  <autoFilter ref="A7:G13" xr:uid="{00000000-0009-0000-0100-000001000000}"/>
  <tableColumns count="7">
    <tableColumn id="1" xr3:uid="{00000000-0010-0000-0000-000001000000}" name="ID RECETA"/>
    <tableColumn id="2" xr3:uid="{00000000-0010-0000-0000-000002000000}" name="RECETA"/>
    <tableColumn id="3" xr3:uid="{00000000-0010-0000-0000-000003000000}" name="CANTIDAD CICLOS"/>
    <tableColumn id="4" xr3:uid="{00000000-0010-0000-0000-000004000000}" name="CANTIDAD TORRES"/>
    <tableColumn id="5" xr3:uid="{00000000-0010-0000-0000-000005000000}" name="TIEMPO UTIL  [HH:MM:SS]"/>
    <tableColumn id="11" xr3:uid="{00000000-0010-0000-0000-00000B000000}" name="PESO TOTAL [KG]"/>
    <tableColumn id="6" xr3:uid="{00000000-0010-0000-0000-000006000000}" name="Kilos por hora_x000a_producidos [kg/h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7:K25">
  <autoFilter ref="A7:K25" xr:uid="{00000000-0009-0000-0100-000002000000}"/>
  <tableColumns count="11">
    <tableColumn id="1" xr3:uid="{00000000-0010-0000-0100-000001000000}" name="ID CICLO"/>
    <tableColumn id="2" xr3:uid="{00000000-0010-0000-0100-000002000000}" name="RECETA"/>
    <tableColumn id="3" xr3:uid="{00000000-0010-0000-0100-000003000000}" name="EQUIPO"/>
    <tableColumn id="4" xr3:uid="{00000000-0010-0000-0100-000004000000}" name="LINEA"/>
    <tableColumn id="5" xr3:uid="{00000000-0010-0000-0100-000005000000}" name="LOTE "/>
    <tableColumn id="6" xr3:uid="{00000000-0010-0000-0100-000006000000}" name="PESO [KG]"/>
    <tableColumn id="7" xr3:uid="{00000000-0010-0000-0100-000007000000}" name="CANTIDAD TORRES"/>
    <tableColumn id="8" xr3:uid="{00000000-0010-0000-0100-000008000000}" name="ESTADO"/>
    <tableColumn id="9" xr3:uid="{00000000-0010-0000-0100-000009000000}" name="INICIO [AAAA-MM-DD HH:MM:SS]"/>
    <tableColumn id="10" xr3:uid="{00000000-0010-0000-0100-00000A000000}" name="FIN [AAAA-MM-DD HH:MM:SS]"/>
    <tableColumn id="11" xr3:uid="{00000000-0010-0000-0100-00000B000000}" name="TIEMPO TRANSCURRIDO [HH:MM:SS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4" displayName="Tabla4" ref="E3:H5">
  <autoFilter ref="E3:H5" xr:uid="{00000000-0009-0000-0100-000003000000}"/>
  <tableColumns count="4">
    <tableColumn id="1" xr3:uid="{00000000-0010-0000-0200-000001000000}" name="ESTADOS"/>
    <tableColumn id="2" xr3:uid="{00000000-0010-0000-0200-000002000000}" name="CANTIDAD CICLOS"/>
    <tableColumn id="3" xr3:uid="{00000000-0010-0000-0200-000003000000}" name="CANTIDAD TORRES"/>
    <tableColumn id="4" xr3:uid="{00000000-0010-0000-0200-000004000000}" name="TOTAL [KG]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" displayName="Tabla1" ref="A7:K19">
  <autoFilter ref="A7:K19" xr:uid="{00000000-0009-0000-0100-000004000000}"/>
  <tableColumns count="11">
    <tableColumn id="1" xr3:uid="{00000000-0010-0000-0300-000001000000}" name="LOTE"/>
    <tableColumn id="2" xr3:uid="{00000000-0010-0000-0300-000002000000}" name="RECETA"/>
    <tableColumn id="3" xr3:uid="{00000000-0010-0000-0300-000003000000}" name="COCINA"/>
    <tableColumn id="4" xr3:uid="{00000000-0010-0000-0300-000004000000}" name="ENFRIADOR"/>
    <tableColumn id="5" xr3:uid="{00000000-0010-0000-0300-000005000000}" name="INICIO"/>
    <tableColumn id="6" xr3:uid="{00000000-0010-0000-0300-000006000000}" name="FIN"/>
    <tableColumn id="7" xr3:uid="{00000000-0010-0000-0300-000007000000}" name="CANTIDAD TORRES"/>
    <tableColumn id="8" xr3:uid="{00000000-0010-0000-0300-000008000000}" name="PESO"/>
    <tableColumn id="9" xr3:uid="{00000000-0010-0000-0300-000009000000}" name="TIEMPO TRANSCURRIDO"/>
    <tableColumn id="10" xr3:uid="{00000000-0010-0000-0300-00000A000000}" name="TIEMPO MUERTO"/>
    <tableColumn id="11" xr3:uid="{00000000-0010-0000-0300-00000B000000}" name="TIEMPO UTIL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1" sqref="B11"/>
    </sheetView>
  </sheetViews>
  <sheetFormatPr baseColWidth="10" defaultColWidth="11.42578125" defaultRowHeight="15" x14ac:dyDescent="0.25"/>
  <cols>
    <col min="1" max="1" width="24.5703125" customWidth="1"/>
    <col min="2" max="2" width="25.5703125" customWidth="1"/>
    <col min="3" max="3" width="22.28515625" customWidth="1"/>
    <col min="4" max="4" width="22.140625" customWidth="1"/>
    <col min="5" max="5" width="30" customWidth="1"/>
    <col min="6" max="6" width="21.42578125" customWidth="1"/>
    <col min="7" max="7" width="19.85546875" customWidth="1"/>
    <col min="8" max="8" width="14" customWidth="1"/>
    <col min="9" max="9" width="11.7109375" customWidth="1"/>
    <col min="10" max="10" width="15.140625" customWidth="1"/>
    <col min="11" max="11" width="15.42578125" customWidth="1"/>
  </cols>
  <sheetData>
    <row r="1" spans="1:11" ht="26.25" customHeight="1" x14ac:dyDescent="0.4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15.75" customHeight="1" x14ac:dyDescent="0.25">
      <c r="A3" s="1" t="s">
        <v>1</v>
      </c>
      <c r="B3" t="s">
        <v>2</v>
      </c>
    </row>
    <row r="4" spans="1:11" ht="15.75" customHeight="1" x14ac:dyDescent="0.25">
      <c r="A4" s="1" t="s">
        <v>3</v>
      </c>
      <c r="B4" t="s">
        <v>2</v>
      </c>
    </row>
    <row r="5" spans="1:11" ht="15.75" customHeight="1" x14ac:dyDescent="0.25">
      <c r="A5" s="1" t="s">
        <v>4</v>
      </c>
      <c r="B5" t="s">
        <v>5</v>
      </c>
    </row>
    <row r="7" spans="1:11" ht="30" customHeight="1" x14ac:dyDescent="0.25">
      <c r="A7" s="3" t="s">
        <v>6</v>
      </c>
      <c r="B7" s="3" t="s">
        <v>7</v>
      </c>
      <c r="C7" s="3" t="s">
        <v>8</v>
      </c>
      <c r="D7" s="5" t="s">
        <v>9</v>
      </c>
      <c r="E7" s="3" t="s">
        <v>10</v>
      </c>
      <c r="F7" s="3" t="s">
        <v>11</v>
      </c>
      <c r="G7" s="3" t="s">
        <v>12</v>
      </c>
    </row>
    <row r="8" spans="1:11" x14ac:dyDescent="0.25">
      <c r="A8" s="4">
        <v>2</v>
      </c>
      <c r="B8" t="s">
        <v>13</v>
      </c>
      <c r="C8">
        <f>COUNTIF('LISTA CICLOS'!$B$8:$B$27,B8)</f>
        <v>4</v>
      </c>
      <c r="D8">
        <f>SUMIF('LISTA CICLOS'!$B$8:$B$27,B8,'LISTA CICLOS'!$G$8:$G$27)</f>
        <v>4</v>
      </c>
      <c r="E8" s="8">
        <f>SUMIF('LISTA CICLOS'!$B$8:$B$27,B8,'LISTA CICLOS'!$K$8:$K$27)</f>
        <v>0.33680555556929903</v>
      </c>
      <c r="F8" s="9">
        <f>SUMIF('LISTA CICLOS'!$B$8:$B$27,B8,'LISTA CICLOS'!$F$8:$F$27)</f>
        <v>3746</v>
      </c>
      <c r="G8" s="10">
        <f t="shared" ref="G8:G13" si="0">IF(E8=0,0,F8/(E8*24))</f>
        <v>463.42268039346101</v>
      </c>
    </row>
    <row r="9" spans="1:11" x14ac:dyDescent="0.25">
      <c r="A9" s="4">
        <v>3</v>
      </c>
      <c r="B9" t="s">
        <v>14</v>
      </c>
      <c r="C9">
        <f>COUNTIF('LISTA CICLOS'!$B$8:$B$27,B9)</f>
        <v>4</v>
      </c>
      <c r="D9">
        <f>SUMIF('LISTA CICLOS'!$B$8:$B$27,B9,'LISTA CICLOS'!$G$8:$G$27)</f>
        <v>4</v>
      </c>
      <c r="E9" s="8">
        <f>SUMIF('LISTA CICLOS'!$B$8:$B$27,B9,'LISTA CICLOS'!$K$8:$K$27)</f>
        <v>0.36319444444961846</v>
      </c>
      <c r="F9" s="9">
        <f>SUMIF('LISTA CICLOS'!$B$8:$B$27,B9,'LISTA CICLOS'!$F$8:$F$27)</f>
        <v>4088</v>
      </c>
      <c r="G9" s="10">
        <f t="shared" si="0"/>
        <v>468.98661567209518</v>
      </c>
    </row>
    <row r="10" spans="1:11" x14ac:dyDescent="0.25">
      <c r="A10" s="4">
        <v>5</v>
      </c>
      <c r="B10" t="s">
        <v>15</v>
      </c>
      <c r="C10">
        <f>COUNTIF('LISTA CICLOS'!$B$8:$B$27,B10)</f>
        <v>4</v>
      </c>
      <c r="D10">
        <f>SUMIF('LISTA CICLOS'!$B$8:$B$27,B10,'LISTA CICLOS'!$G$8:$G$27)</f>
        <v>4</v>
      </c>
      <c r="E10" s="8">
        <f>SUMIF('LISTA CICLOS'!$B$8:$B$27,B10,'LISTA CICLOS'!$K$8:$K$27)</f>
        <v>0.35486111110367347</v>
      </c>
      <c r="F10" s="9">
        <f>SUMIF('LISTA CICLOS'!$B$8:$B$27,B10,'LISTA CICLOS'!$F$8:$F$27)</f>
        <v>3920</v>
      </c>
      <c r="G10" s="10">
        <f t="shared" si="0"/>
        <v>460.27397261238673</v>
      </c>
    </row>
    <row r="11" spans="1:11" x14ac:dyDescent="0.25">
      <c r="A11" s="4">
        <v>6</v>
      </c>
      <c r="B11" t="s">
        <v>16</v>
      </c>
      <c r="C11">
        <f>COUNTIF('LISTA CICLOS'!$B$8:$B$27,B11)</f>
        <v>4</v>
      </c>
      <c r="D11">
        <f>SUMIF('LISTA CICLOS'!$B$8:$B$27,B11,'LISTA CICLOS'!$G$8:$G$27)</f>
        <v>4</v>
      </c>
      <c r="E11" s="8">
        <f>SUMIF('LISTA CICLOS'!$B$8:$B$27,B11,'LISTA CICLOS'!$K$8:$K$27)</f>
        <v>0.24444444444816327</v>
      </c>
      <c r="F11" s="9">
        <f>SUMIF('LISTA CICLOS'!$B$8:$B$27,B11,'LISTA CICLOS'!$F$8:$F$27)</f>
        <v>3904</v>
      </c>
      <c r="G11" s="10">
        <f t="shared" si="0"/>
        <v>665.45454544442168</v>
      </c>
    </row>
    <row r="12" spans="1:11" x14ac:dyDescent="0.25">
      <c r="A12" s="4">
        <v>7</v>
      </c>
      <c r="B12" t="s">
        <v>17</v>
      </c>
      <c r="C12">
        <f>COUNTIF('LISTA CICLOS'!$B$8:$B$27,B12)</f>
        <v>4</v>
      </c>
      <c r="D12">
        <f>SUMIF('LISTA CICLOS'!$B$8:$B$27,B12,'LISTA CICLOS'!$G$8:$G$27)</f>
        <v>4</v>
      </c>
      <c r="E12" s="8">
        <f>SUMIF('LISTA CICLOS'!$B$8:$B$27,B12,'LISTA CICLOS'!$K$8:$K$27)</f>
        <v>0.3743055555751198</v>
      </c>
      <c r="F12" s="9">
        <f>SUMIF('LISTA CICLOS'!$B$8:$B$27,B12,'LISTA CICLOS'!$F$8:$F$27)</f>
        <v>3938</v>
      </c>
      <c r="G12" s="10">
        <f t="shared" si="0"/>
        <v>438.36734691586287</v>
      </c>
    </row>
    <row r="13" spans="1:11" x14ac:dyDescent="0.25">
      <c r="A13" s="13" t="s">
        <v>18</v>
      </c>
      <c r="B13" s="14"/>
      <c r="C13" s="14">
        <f>SUM(C8:C12)</f>
        <v>20</v>
      </c>
      <c r="D13" s="14">
        <f>SUM(D8:D12)</f>
        <v>20</v>
      </c>
      <c r="E13" s="15">
        <f>SUM(E8:E12)</f>
        <v>1.673611111145874</v>
      </c>
      <c r="F13" s="16">
        <f>SUM(F8:F12)</f>
        <v>19596</v>
      </c>
      <c r="G13" s="17">
        <f t="shared" si="0"/>
        <v>487.86721990687886</v>
      </c>
    </row>
  </sheetData>
  <mergeCells count="1">
    <mergeCell ref="A1:K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activeCell="I34" sqref="I34"/>
    </sheetView>
  </sheetViews>
  <sheetFormatPr baseColWidth="10" defaultColWidth="11.42578125" defaultRowHeight="15" x14ac:dyDescent="0.25"/>
  <cols>
    <col min="1" max="1" width="24.5703125" customWidth="1"/>
    <col min="2" max="2" width="20.42578125" bestFit="1" customWidth="1"/>
    <col min="3" max="3" width="14.7109375" customWidth="1"/>
    <col min="4" max="4" width="17.140625" customWidth="1"/>
    <col min="5" max="5" width="21.42578125" customWidth="1"/>
    <col min="6" max="6" width="19.85546875" customWidth="1"/>
    <col min="7" max="7" width="19.5703125" customWidth="1"/>
    <col min="8" max="8" width="11.85546875" customWidth="1"/>
    <col min="9" max="9" width="32.85546875" customWidth="1"/>
    <col min="10" max="10" width="30.140625" customWidth="1"/>
    <col min="11" max="11" width="35.28515625" customWidth="1"/>
  </cols>
  <sheetData>
    <row r="1" spans="1:11" ht="26.25" customHeight="1" x14ac:dyDescent="0.4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15.75" customHeight="1" x14ac:dyDescent="0.25">
      <c r="A3" s="1" t="s">
        <v>1</v>
      </c>
      <c r="B3" t="s">
        <v>2</v>
      </c>
      <c r="E3" t="s">
        <v>20</v>
      </c>
      <c r="F3" t="s">
        <v>8</v>
      </c>
      <c r="G3" t="s">
        <v>9</v>
      </c>
      <c r="H3" t="s">
        <v>21</v>
      </c>
    </row>
    <row r="4" spans="1:11" ht="15.75" customHeight="1" x14ac:dyDescent="0.25">
      <c r="A4" s="1" t="s">
        <v>3</v>
      </c>
      <c r="B4" t="s">
        <v>2</v>
      </c>
      <c r="E4" t="s">
        <v>22</v>
      </c>
      <c r="F4">
        <f>COUNTIF($H$8:$H$27,"FINALIZADO")</f>
        <v>20</v>
      </c>
      <c r="G4">
        <f>SUMIF($H$8:$H$27,"FINALIZADO",$G$8:$G$27)</f>
        <v>20</v>
      </c>
      <c r="H4">
        <f>SUMIF($H$8:$H$27,"FINALIZADO",$F$8:$F$27)</f>
        <v>19596</v>
      </c>
    </row>
    <row r="5" spans="1:11" ht="15.75" customHeight="1" x14ac:dyDescent="0.25">
      <c r="A5" s="1" t="s">
        <v>4</v>
      </c>
      <c r="B5" t="s">
        <v>5</v>
      </c>
      <c r="E5" s="2" t="s">
        <v>23</v>
      </c>
      <c r="F5">
        <f>COUNTIF($H$8:$H$27,"CANCELADO")</f>
        <v>0</v>
      </c>
      <c r="G5">
        <f>SUMIF($H$8:$H$27,"CANCELADO",$G$8:$G$27)</f>
        <v>0</v>
      </c>
      <c r="H5">
        <f>SUMIF($H$8:$H$27,"CANCELADO",$F$8:$F$27)</f>
        <v>0</v>
      </c>
    </row>
    <row r="7" spans="1:11" x14ac:dyDescent="0.25">
      <c r="A7" t="s">
        <v>24</v>
      </c>
      <c r="B7" t="s">
        <v>7</v>
      </c>
      <c r="C7" t="s">
        <v>25</v>
      </c>
      <c r="D7" t="s">
        <v>26</v>
      </c>
      <c r="E7" t="s">
        <v>27</v>
      </c>
      <c r="F7" t="s">
        <v>28</v>
      </c>
      <c r="G7" t="s">
        <v>9</v>
      </c>
      <c r="H7" t="s">
        <v>29</v>
      </c>
      <c r="I7" t="s">
        <v>30</v>
      </c>
      <c r="J7" t="s">
        <v>31</v>
      </c>
      <c r="K7" t="s">
        <v>32</v>
      </c>
    </row>
    <row r="8" spans="1:11" x14ac:dyDescent="0.25">
      <c r="A8">
        <v>1531</v>
      </c>
      <c r="B8" t="s">
        <v>13</v>
      </c>
      <c r="C8" t="s">
        <v>33</v>
      </c>
      <c r="D8" t="s">
        <v>34</v>
      </c>
      <c r="E8" t="s">
        <v>35</v>
      </c>
      <c r="F8">
        <v>932</v>
      </c>
      <c r="G8">
        <v>1</v>
      </c>
      <c r="H8" t="s">
        <v>36</v>
      </c>
      <c r="I8" s="11">
        <v>46119.236111111109</v>
      </c>
      <c r="J8" s="11">
        <v>46119.304166666669</v>
      </c>
      <c r="K8" s="8">
        <f>J8-I8</f>
        <v>6.805555555911269E-2</v>
      </c>
    </row>
    <row r="9" spans="1:11" x14ac:dyDescent="0.25">
      <c r="A9">
        <v>1545</v>
      </c>
      <c r="B9" t="s">
        <v>14</v>
      </c>
      <c r="C9" t="s">
        <v>33</v>
      </c>
      <c r="D9" t="s">
        <v>34</v>
      </c>
      <c r="E9" t="s">
        <v>37</v>
      </c>
      <c r="F9">
        <v>1018</v>
      </c>
      <c r="G9">
        <v>1</v>
      </c>
      <c r="H9" t="s">
        <v>36</v>
      </c>
      <c r="I9" s="11">
        <v>46119.288194444453</v>
      </c>
      <c r="J9" s="11">
        <v>46119.36041666667</v>
      </c>
      <c r="K9" s="8">
        <f t="shared" ref="K9:K27" si="0">J9-I9</f>
        <v>7.2222222217533272E-2</v>
      </c>
    </row>
    <row r="10" spans="1:11" x14ac:dyDescent="0.25">
      <c r="A10">
        <v>2531</v>
      </c>
      <c r="B10" t="s">
        <v>13</v>
      </c>
      <c r="C10" t="s">
        <v>38</v>
      </c>
      <c r="D10" t="s">
        <v>34</v>
      </c>
      <c r="E10" t="s">
        <v>35</v>
      </c>
      <c r="F10">
        <v>932</v>
      </c>
      <c r="G10">
        <v>1</v>
      </c>
      <c r="H10" t="s">
        <v>36</v>
      </c>
      <c r="I10" s="11">
        <v>46119.318749999999</v>
      </c>
      <c r="J10" s="11">
        <v>46119.420138888891</v>
      </c>
      <c r="K10" s="8">
        <f t="shared" si="0"/>
        <v>0.10138888889196096</v>
      </c>
    </row>
    <row r="11" spans="1:11" x14ac:dyDescent="0.25">
      <c r="A11">
        <v>1562</v>
      </c>
      <c r="B11" t="s">
        <v>15</v>
      </c>
      <c r="C11" t="s">
        <v>33</v>
      </c>
      <c r="D11" t="s">
        <v>34</v>
      </c>
      <c r="E11" t="s">
        <v>39</v>
      </c>
      <c r="F11">
        <v>987</v>
      </c>
      <c r="G11">
        <v>1</v>
      </c>
      <c r="H11" t="s">
        <v>36</v>
      </c>
      <c r="I11" s="11">
        <v>46119.336805555547</v>
      </c>
      <c r="J11" s="11">
        <v>46119.408333333333</v>
      </c>
      <c r="K11" s="8">
        <f t="shared" si="0"/>
        <v>7.1527777785377111E-2</v>
      </c>
    </row>
    <row r="12" spans="1:11" x14ac:dyDescent="0.25">
      <c r="A12">
        <v>2545</v>
      </c>
      <c r="B12" t="s">
        <v>14</v>
      </c>
      <c r="C12" t="s">
        <v>40</v>
      </c>
      <c r="D12" t="s">
        <v>34</v>
      </c>
      <c r="E12" t="s">
        <v>37</v>
      </c>
      <c r="F12">
        <v>1018</v>
      </c>
      <c r="G12">
        <v>1</v>
      </c>
      <c r="H12" t="s">
        <v>36</v>
      </c>
      <c r="I12" s="11">
        <v>46119.379861111112</v>
      </c>
      <c r="J12" s="11">
        <v>46119.488888888889</v>
      </c>
      <c r="K12" s="8">
        <f t="shared" si="0"/>
        <v>0.10902777777664596</v>
      </c>
    </row>
    <row r="13" spans="1:11" x14ac:dyDescent="0.25">
      <c r="A13">
        <v>1580</v>
      </c>
      <c r="B13" t="s">
        <v>16</v>
      </c>
      <c r="C13" t="s">
        <v>33</v>
      </c>
      <c r="D13" t="s">
        <v>34</v>
      </c>
      <c r="E13" t="s">
        <v>41</v>
      </c>
      <c r="F13">
        <v>954</v>
      </c>
      <c r="G13">
        <v>1</v>
      </c>
      <c r="H13" t="s">
        <v>36</v>
      </c>
      <c r="I13" s="11">
        <v>46119.388888888891</v>
      </c>
      <c r="J13" s="11">
        <v>46119.458333333343</v>
      </c>
      <c r="K13" s="8">
        <f t="shared" si="0"/>
        <v>6.9444444452528842E-2</v>
      </c>
    </row>
    <row r="14" spans="1:11" x14ac:dyDescent="0.25">
      <c r="A14">
        <v>2562</v>
      </c>
      <c r="B14" t="s">
        <v>15</v>
      </c>
      <c r="C14" t="s">
        <v>42</v>
      </c>
      <c r="D14" t="s">
        <v>34</v>
      </c>
      <c r="E14" t="s">
        <v>39</v>
      </c>
      <c r="F14">
        <v>987</v>
      </c>
      <c r="G14">
        <v>1</v>
      </c>
      <c r="H14" t="s">
        <v>36</v>
      </c>
      <c r="I14" s="11">
        <v>46119.425000000003</v>
      </c>
      <c r="J14" s="11">
        <v>46119.526388888888</v>
      </c>
      <c r="K14" s="8">
        <f t="shared" si="0"/>
        <v>0.101388888884685</v>
      </c>
    </row>
    <row r="15" spans="1:11" x14ac:dyDescent="0.25">
      <c r="A15">
        <v>1598</v>
      </c>
      <c r="B15" t="s">
        <v>17</v>
      </c>
      <c r="C15" t="s">
        <v>33</v>
      </c>
      <c r="D15" t="s">
        <v>34</v>
      </c>
      <c r="E15" t="s">
        <v>43</v>
      </c>
      <c r="F15">
        <v>1009</v>
      </c>
      <c r="G15">
        <v>1</v>
      </c>
      <c r="H15" t="s">
        <v>36</v>
      </c>
      <c r="I15" s="11">
        <v>46119.447916666657</v>
      </c>
      <c r="J15" s="11">
        <v>46119.521527777782</v>
      </c>
      <c r="K15" s="8">
        <f t="shared" si="0"/>
        <v>7.3611111125501338E-2</v>
      </c>
    </row>
    <row r="16" spans="1:11" x14ac:dyDescent="0.25">
      <c r="A16">
        <v>2580</v>
      </c>
      <c r="B16" t="s">
        <v>16</v>
      </c>
      <c r="C16" t="s">
        <v>40</v>
      </c>
      <c r="D16" t="s">
        <v>34</v>
      </c>
      <c r="E16" t="s">
        <v>41</v>
      </c>
      <c r="F16">
        <v>954</v>
      </c>
      <c r="G16">
        <v>1</v>
      </c>
      <c r="H16" t="s">
        <v>36</v>
      </c>
      <c r="I16" s="11">
        <v>46119.47152777778</v>
      </c>
      <c r="J16" s="11">
        <v>46119.574305555558</v>
      </c>
      <c r="K16" s="8">
        <f t="shared" si="0"/>
        <v>0.10277777777810115</v>
      </c>
    </row>
    <row r="17" spans="1:11" x14ac:dyDescent="0.25">
      <c r="A17">
        <v>1615</v>
      </c>
      <c r="B17" t="s">
        <v>13</v>
      </c>
      <c r="C17" t="s">
        <v>33</v>
      </c>
      <c r="D17" t="s">
        <v>34</v>
      </c>
      <c r="E17" t="s">
        <v>44</v>
      </c>
      <c r="F17">
        <v>941</v>
      </c>
      <c r="G17">
        <v>1</v>
      </c>
      <c r="H17" t="s">
        <v>36</v>
      </c>
      <c r="I17" s="11">
        <v>46119.503472222219</v>
      </c>
      <c r="J17" s="11">
        <v>46119.570138888892</v>
      </c>
      <c r="K17" s="8">
        <f t="shared" si="0"/>
        <v>6.6666666672972497E-2</v>
      </c>
    </row>
    <row r="18" spans="1:11" x14ac:dyDescent="0.25">
      <c r="A18">
        <v>2598</v>
      </c>
      <c r="B18" t="s">
        <v>17</v>
      </c>
      <c r="C18" t="s">
        <v>38</v>
      </c>
      <c r="D18" t="s">
        <v>34</v>
      </c>
      <c r="E18" t="s">
        <v>43</v>
      </c>
      <c r="F18">
        <v>1009</v>
      </c>
      <c r="G18">
        <v>1</v>
      </c>
      <c r="H18" t="s">
        <v>36</v>
      </c>
      <c r="I18" s="11">
        <v>46119.54583333333</v>
      </c>
      <c r="J18" s="11">
        <v>46119.663888888892</v>
      </c>
      <c r="K18" s="8">
        <f t="shared" si="0"/>
        <v>0.11805555556202307</v>
      </c>
    </row>
    <row r="19" spans="1:11" x14ac:dyDescent="0.25">
      <c r="A19">
        <v>1634</v>
      </c>
      <c r="B19" t="s">
        <v>14</v>
      </c>
      <c r="C19" t="s">
        <v>33</v>
      </c>
      <c r="D19" t="s">
        <v>34</v>
      </c>
      <c r="E19" t="s">
        <v>45</v>
      </c>
      <c r="F19">
        <v>1026</v>
      </c>
      <c r="G19">
        <v>1</v>
      </c>
      <c r="H19" t="s">
        <v>36</v>
      </c>
      <c r="I19" s="11">
        <v>46119.555555555547</v>
      </c>
      <c r="J19" s="11">
        <v>46119.629861111112</v>
      </c>
      <c r="K19" s="8">
        <f t="shared" si="0"/>
        <v>7.4305555564933456E-2</v>
      </c>
    </row>
    <row r="20" spans="1:11" x14ac:dyDescent="0.25">
      <c r="A20">
        <v>2615</v>
      </c>
      <c r="B20" t="s">
        <v>13</v>
      </c>
      <c r="C20" t="s">
        <v>42</v>
      </c>
      <c r="D20" t="s">
        <v>34</v>
      </c>
      <c r="E20" t="s">
        <v>44</v>
      </c>
      <c r="F20">
        <v>941</v>
      </c>
      <c r="G20">
        <v>1</v>
      </c>
      <c r="H20" t="s">
        <v>36</v>
      </c>
      <c r="I20" s="11">
        <v>46119.581944444442</v>
      </c>
      <c r="J20" s="11">
        <v>46119.682638888888</v>
      </c>
      <c r="K20" s="8">
        <f t="shared" si="0"/>
        <v>0.10069444444525288</v>
      </c>
    </row>
    <row r="21" spans="1:11" x14ac:dyDescent="0.25">
      <c r="A21">
        <v>1650</v>
      </c>
      <c r="B21" t="s">
        <v>15</v>
      </c>
      <c r="C21" t="s">
        <v>33</v>
      </c>
      <c r="D21" t="s">
        <v>34</v>
      </c>
      <c r="E21" t="s">
        <v>46</v>
      </c>
      <c r="F21">
        <v>973</v>
      </c>
      <c r="G21">
        <v>1</v>
      </c>
      <c r="H21" t="s">
        <v>36</v>
      </c>
      <c r="I21" s="11">
        <v>46119.614583333343</v>
      </c>
      <c r="J21" s="11">
        <v>46119.688194444447</v>
      </c>
      <c r="K21" s="8">
        <f t="shared" si="0"/>
        <v>7.3611111103673466E-2</v>
      </c>
    </row>
    <row r="22" spans="1:11" x14ac:dyDescent="0.25">
      <c r="A22">
        <v>2634</v>
      </c>
      <c r="B22" t="s">
        <v>14</v>
      </c>
      <c r="C22" t="s">
        <v>40</v>
      </c>
      <c r="D22" t="s">
        <v>34</v>
      </c>
      <c r="E22" t="s">
        <v>45</v>
      </c>
      <c r="F22">
        <v>1026</v>
      </c>
      <c r="G22">
        <v>1</v>
      </c>
      <c r="H22" t="s">
        <v>36</v>
      </c>
      <c r="I22" s="11">
        <v>46119.647916666669</v>
      </c>
      <c r="J22" s="11">
        <v>46119.755555555559</v>
      </c>
      <c r="K22" s="8">
        <f t="shared" si="0"/>
        <v>0.10763888889050577</v>
      </c>
    </row>
    <row r="23" spans="1:11" x14ac:dyDescent="0.25">
      <c r="A23">
        <v>1668</v>
      </c>
      <c r="B23" t="s">
        <v>16</v>
      </c>
      <c r="C23" t="s">
        <v>33</v>
      </c>
      <c r="D23" t="s">
        <v>34</v>
      </c>
      <c r="E23" t="s">
        <v>47</v>
      </c>
      <c r="F23">
        <v>998</v>
      </c>
      <c r="G23">
        <v>1</v>
      </c>
      <c r="H23" t="s">
        <v>36</v>
      </c>
      <c r="I23" s="11">
        <v>46119.670138888891</v>
      </c>
      <c r="J23" s="11">
        <v>46119.742361111108</v>
      </c>
      <c r="K23" s="8">
        <f t="shared" si="0"/>
        <v>7.2222222217533272E-2</v>
      </c>
    </row>
    <row r="24" spans="1:11" x14ac:dyDescent="0.25">
      <c r="A24">
        <v>2650</v>
      </c>
      <c r="B24" t="s">
        <v>15</v>
      </c>
      <c r="C24" t="s">
        <v>38</v>
      </c>
      <c r="D24" t="s">
        <v>34</v>
      </c>
      <c r="E24" t="s">
        <v>46</v>
      </c>
      <c r="F24">
        <v>973</v>
      </c>
      <c r="G24">
        <v>1</v>
      </c>
      <c r="H24" t="s">
        <v>36</v>
      </c>
      <c r="I24" s="11">
        <v>46119.703472222223</v>
      </c>
      <c r="J24" s="11">
        <v>46119.811805555553</v>
      </c>
      <c r="K24" s="8">
        <f t="shared" si="0"/>
        <v>0.10833333332993789</v>
      </c>
    </row>
    <row r="25" spans="1:11" x14ac:dyDescent="0.25">
      <c r="A25">
        <v>1684</v>
      </c>
      <c r="B25" t="s">
        <v>17</v>
      </c>
      <c r="C25" t="s">
        <v>33</v>
      </c>
      <c r="D25" t="s">
        <v>34</v>
      </c>
      <c r="E25" t="s">
        <v>48</v>
      </c>
      <c r="F25">
        <v>960</v>
      </c>
      <c r="G25">
        <v>1</v>
      </c>
      <c r="H25" t="s">
        <v>36</v>
      </c>
      <c r="I25" s="11">
        <v>46119.725694444453</v>
      </c>
      <c r="J25" s="11">
        <v>46119.799305555563</v>
      </c>
      <c r="K25" s="8">
        <f t="shared" si="0"/>
        <v>7.3611111110949423E-2</v>
      </c>
    </row>
    <row r="26" spans="1:11" x14ac:dyDescent="0.25">
      <c r="A26">
        <v>2668</v>
      </c>
      <c r="B26" t="s">
        <v>16</v>
      </c>
      <c r="C26" t="s">
        <v>42</v>
      </c>
      <c r="D26" t="s">
        <v>34</v>
      </c>
      <c r="E26" t="s">
        <v>47</v>
      </c>
      <c r="F26">
        <v>998</v>
      </c>
      <c r="G26">
        <v>1</v>
      </c>
      <c r="H26" t="s">
        <v>36</v>
      </c>
      <c r="I26" s="11">
        <v>46119.754861111112</v>
      </c>
      <c r="J26" s="11">
        <v>46119.861111111109</v>
      </c>
      <c r="K26" s="8" t="b">
        <f>E5=J26-I26</f>
        <v>0</v>
      </c>
    </row>
    <row r="27" spans="1:11" x14ac:dyDescent="0.25">
      <c r="A27">
        <v>2684</v>
      </c>
      <c r="B27" t="s">
        <v>17</v>
      </c>
      <c r="C27" t="s">
        <v>40</v>
      </c>
      <c r="D27" t="s">
        <v>34</v>
      </c>
      <c r="E27" t="s">
        <v>48</v>
      </c>
      <c r="F27">
        <v>960</v>
      </c>
      <c r="G27">
        <v>1</v>
      </c>
      <c r="H27" t="s">
        <v>36</v>
      </c>
      <c r="I27" s="11">
        <v>46119.820138888892</v>
      </c>
      <c r="J27" s="11">
        <v>46119.929166666669</v>
      </c>
      <c r="K27" s="8">
        <f t="shared" si="0"/>
        <v>0.10902777777664596</v>
      </c>
    </row>
  </sheetData>
  <mergeCells count="1">
    <mergeCell ref="A1:K1"/>
  </mergeCells>
  <pageMargins left="0.7" right="0.7" top="0.75" bottom="0.75" header="0.3" footer="0.3"/>
  <ignoredErrors>
    <ignoredError sqref="K26" formula="1"/>
  </ignoredErrors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D28" sqref="D28"/>
    </sheetView>
  </sheetViews>
  <sheetFormatPr baseColWidth="10" defaultColWidth="11.42578125" defaultRowHeight="15" x14ac:dyDescent="0.25"/>
  <cols>
    <col min="1" max="1" width="24.5703125" bestFit="1" customWidth="1"/>
    <col min="2" max="2" width="20.42578125" bestFit="1" customWidth="1"/>
    <col min="3" max="3" width="20.140625" customWidth="1"/>
    <col min="4" max="4" width="22" customWidth="1"/>
    <col min="5" max="5" width="23.85546875" customWidth="1"/>
    <col min="6" max="6" width="30" customWidth="1"/>
    <col min="7" max="7" width="19.85546875" customWidth="1"/>
    <col min="8" max="8" width="19.28515625" customWidth="1"/>
    <col min="9" max="9" width="25" customWidth="1"/>
    <col min="10" max="10" width="18.7109375" customWidth="1"/>
    <col min="11" max="11" width="15" customWidth="1"/>
    <col min="12" max="13" width="13" hidden="1" customWidth="1"/>
  </cols>
  <sheetData>
    <row r="1" spans="1:11" ht="26.25" customHeight="1" x14ac:dyDescent="0.4">
      <c r="A1" s="18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15.75" x14ac:dyDescent="0.25">
      <c r="A3" s="1" t="s">
        <v>1</v>
      </c>
      <c r="B3" t="s">
        <v>2</v>
      </c>
    </row>
    <row r="4" spans="1:11" ht="15.75" x14ac:dyDescent="0.25">
      <c r="A4" s="1" t="s">
        <v>3</v>
      </c>
      <c r="B4" t="s">
        <v>2</v>
      </c>
    </row>
    <row r="5" spans="1:11" ht="15.75" x14ac:dyDescent="0.25">
      <c r="A5" s="1" t="s">
        <v>4</v>
      </c>
      <c r="B5" t="s">
        <v>5</v>
      </c>
    </row>
    <row r="6" spans="1:11" ht="15.75" x14ac:dyDescent="0.25">
      <c r="A6" s="1"/>
    </row>
    <row r="7" spans="1:11" x14ac:dyDescent="0.25">
      <c r="A7" t="s">
        <v>50</v>
      </c>
      <c r="B7" t="s">
        <v>7</v>
      </c>
      <c r="C7" t="s">
        <v>51</v>
      </c>
      <c r="D7" t="s">
        <v>52</v>
      </c>
      <c r="E7" t="s">
        <v>53</v>
      </c>
      <c r="F7" t="s">
        <v>54</v>
      </c>
      <c r="G7" t="s">
        <v>9</v>
      </c>
      <c r="H7" t="s">
        <v>55</v>
      </c>
      <c r="I7" t="s">
        <v>56</v>
      </c>
      <c r="J7" t="s">
        <v>57</v>
      </c>
      <c r="K7" t="s">
        <v>58</v>
      </c>
    </row>
    <row r="8" spans="1:11" x14ac:dyDescent="0.25">
      <c r="A8" t="s">
        <v>35</v>
      </c>
      <c r="B8" t="s">
        <v>13</v>
      </c>
      <c r="C8" t="s">
        <v>59</v>
      </c>
      <c r="D8" t="s">
        <v>60</v>
      </c>
      <c r="E8" s="11">
        <v>46119.236111111109</v>
      </c>
      <c r="F8" s="11">
        <v>46119.420138888891</v>
      </c>
      <c r="G8">
        <v>1</v>
      </c>
      <c r="H8">
        <v>932</v>
      </c>
      <c r="I8" s="12">
        <f t="shared" ref="I8:I17" si="0">F8-E8</f>
        <v>0.18402777778101154</v>
      </c>
      <c r="J8" s="12">
        <v>1.458333333333333E-2</v>
      </c>
      <c r="K8" s="12">
        <f t="shared" ref="K8:K17" si="1">I8-J8</f>
        <v>0.1694444444476782</v>
      </c>
    </row>
    <row r="9" spans="1:11" x14ac:dyDescent="0.25">
      <c r="A9" t="s">
        <v>37</v>
      </c>
      <c r="B9" t="s">
        <v>14</v>
      </c>
      <c r="C9" t="s">
        <v>59</v>
      </c>
      <c r="D9" t="s">
        <v>61</v>
      </c>
      <c r="E9" s="11">
        <v>46119.288194444453</v>
      </c>
      <c r="F9" s="11">
        <v>46119.488888888889</v>
      </c>
      <c r="G9">
        <v>1</v>
      </c>
      <c r="H9">
        <v>1018</v>
      </c>
      <c r="I9" s="12">
        <f t="shared" si="0"/>
        <v>0.20069444443652174</v>
      </c>
      <c r="J9" s="12">
        <v>1.9444444444444441E-2</v>
      </c>
      <c r="K9" s="12">
        <f t="shared" si="1"/>
        <v>0.1812499999920773</v>
      </c>
    </row>
    <row r="10" spans="1:11" x14ac:dyDescent="0.25">
      <c r="A10" t="s">
        <v>39</v>
      </c>
      <c r="B10" t="s">
        <v>15</v>
      </c>
      <c r="C10" t="s">
        <v>59</v>
      </c>
      <c r="D10" t="s">
        <v>62</v>
      </c>
      <c r="E10" s="11">
        <v>46119.336805555547</v>
      </c>
      <c r="F10" s="11">
        <v>46119.526388888888</v>
      </c>
      <c r="G10">
        <v>1</v>
      </c>
      <c r="H10">
        <v>987</v>
      </c>
      <c r="I10" s="12">
        <f t="shared" si="0"/>
        <v>0.18958333334012423</v>
      </c>
      <c r="J10" s="12">
        <v>1.666666666666667E-2</v>
      </c>
      <c r="K10" s="12">
        <f t="shared" si="1"/>
        <v>0.17291666667345756</v>
      </c>
    </row>
    <row r="11" spans="1:11" x14ac:dyDescent="0.25">
      <c r="A11" t="s">
        <v>41</v>
      </c>
      <c r="B11" t="s">
        <v>16</v>
      </c>
      <c r="C11" t="s">
        <v>59</v>
      </c>
      <c r="D11" t="s">
        <v>61</v>
      </c>
      <c r="E11" s="11">
        <v>46119.388888888891</v>
      </c>
      <c r="F11" s="11">
        <v>46119.574305555558</v>
      </c>
      <c r="G11">
        <v>1</v>
      </c>
      <c r="H11">
        <v>954</v>
      </c>
      <c r="I11" s="12">
        <f t="shared" si="0"/>
        <v>0.18541666666715173</v>
      </c>
      <c r="J11" s="12">
        <v>1.3194444444444439E-2</v>
      </c>
      <c r="K11" s="12">
        <f t="shared" si="1"/>
        <v>0.17222222222270728</v>
      </c>
    </row>
    <row r="12" spans="1:11" x14ac:dyDescent="0.25">
      <c r="A12" t="s">
        <v>43</v>
      </c>
      <c r="B12" t="s">
        <v>17</v>
      </c>
      <c r="C12" t="s">
        <v>59</v>
      </c>
      <c r="D12" t="s">
        <v>60</v>
      </c>
      <c r="E12" s="11">
        <v>46119.447916666657</v>
      </c>
      <c r="F12" s="11">
        <v>46119.663888888892</v>
      </c>
      <c r="G12">
        <v>1</v>
      </c>
      <c r="H12">
        <v>1009</v>
      </c>
      <c r="I12" s="12">
        <f t="shared" si="0"/>
        <v>0.21597222223499557</v>
      </c>
      <c r="J12" s="12">
        <v>2.4305555555555559E-2</v>
      </c>
      <c r="K12" s="12">
        <f t="shared" si="1"/>
        <v>0.19166666667944002</v>
      </c>
    </row>
    <row r="13" spans="1:11" x14ac:dyDescent="0.25">
      <c r="A13" t="s">
        <v>44</v>
      </c>
      <c r="B13" t="s">
        <v>13</v>
      </c>
      <c r="C13" t="s">
        <v>59</v>
      </c>
      <c r="D13" t="s">
        <v>62</v>
      </c>
      <c r="E13" s="11">
        <v>46119.503472222219</v>
      </c>
      <c r="F13" s="11">
        <v>46119.682638888888</v>
      </c>
      <c r="G13">
        <v>1</v>
      </c>
      <c r="H13">
        <v>941</v>
      </c>
      <c r="I13" s="12">
        <f t="shared" si="0"/>
        <v>0.17916666666860692</v>
      </c>
      <c r="J13" s="12">
        <v>1.180555555555556E-2</v>
      </c>
      <c r="K13" s="12">
        <f t="shared" si="1"/>
        <v>0.16736111111305135</v>
      </c>
    </row>
    <row r="14" spans="1:11" x14ac:dyDescent="0.25">
      <c r="A14" t="s">
        <v>45</v>
      </c>
      <c r="B14" t="s">
        <v>14</v>
      </c>
      <c r="C14" t="s">
        <v>59</v>
      </c>
      <c r="D14" t="s">
        <v>61</v>
      </c>
      <c r="E14" s="11">
        <v>46119.555555555547</v>
      </c>
      <c r="F14" s="11">
        <v>46119.755555555559</v>
      </c>
      <c r="G14">
        <v>1</v>
      </c>
      <c r="H14">
        <v>1026</v>
      </c>
      <c r="I14" s="12">
        <f t="shared" si="0"/>
        <v>0.20000000001164153</v>
      </c>
      <c r="J14" s="12">
        <v>1.805555555555555E-2</v>
      </c>
      <c r="K14" s="12">
        <f t="shared" si="1"/>
        <v>0.18194444445608599</v>
      </c>
    </row>
    <row r="15" spans="1:11" x14ac:dyDescent="0.25">
      <c r="A15" t="s">
        <v>46</v>
      </c>
      <c r="B15" t="s">
        <v>15</v>
      </c>
      <c r="C15" t="s">
        <v>59</v>
      </c>
      <c r="D15" t="s">
        <v>60</v>
      </c>
      <c r="E15" s="11">
        <v>46119.614583333343</v>
      </c>
      <c r="F15" s="11">
        <v>46119.811805555553</v>
      </c>
      <c r="G15">
        <v>1</v>
      </c>
      <c r="H15">
        <v>973</v>
      </c>
      <c r="I15" s="12">
        <f t="shared" si="0"/>
        <v>0.19722222221025731</v>
      </c>
      <c r="J15" s="12">
        <v>1.5277777777777781E-2</v>
      </c>
      <c r="K15" s="12">
        <f t="shared" si="1"/>
        <v>0.18194444443247954</v>
      </c>
    </row>
    <row r="16" spans="1:11" x14ac:dyDescent="0.25">
      <c r="A16" t="s">
        <v>47</v>
      </c>
      <c r="B16" t="s">
        <v>16</v>
      </c>
      <c r="C16" t="s">
        <v>59</v>
      </c>
      <c r="D16" t="s">
        <v>62</v>
      </c>
      <c r="E16" s="11">
        <v>46119.670138888891</v>
      </c>
      <c r="F16" s="11">
        <v>46119.861111111109</v>
      </c>
      <c r="G16">
        <v>1</v>
      </c>
      <c r="H16">
        <v>998</v>
      </c>
      <c r="I16" s="12">
        <f t="shared" si="0"/>
        <v>0.19097222221898846</v>
      </c>
      <c r="J16" s="12">
        <v>1.2500000000000001E-2</v>
      </c>
      <c r="K16" s="12">
        <f t="shared" si="1"/>
        <v>0.17847222221898845</v>
      </c>
    </row>
    <row r="17" spans="1:11" x14ac:dyDescent="0.25">
      <c r="A17" t="s">
        <v>48</v>
      </c>
      <c r="B17" t="s">
        <v>17</v>
      </c>
      <c r="C17" t="s">
        <v>59</v>
      </c>
      <c r="D17" t="s">
        <v>61</v>
      </c>
      <c r="E17" s="11">
        <v>46119.725694444453</v>
      </c>
      <c r="F17" s="11">
        <v>46119.929166666669</v>
      </c>
      <c r="G17">
        <v>1</v>
      </c>
      <c r="H17">
        <v>960</v>
      </c>
      <c r="I17" s="12">
        <f t="shared" si="0"/>
        <v>0.20347222221607808</v>
      </c>
      <c r="J17" s="12">
        <v>2.0833333333333329E-2</v>
      </c>
      <c r="K17" s="12">
        <f t="shared" si="1"/>
        <v>0.18263888888274477</v>
      </c>
    </row>
    <row r="18" spans="1:11" x14ac:dyDescent="0.25">
      <c r="E18" s="6"/>
      <c r="F18" s="6"/>
      <c r="I18" s="7"/>
      <c r="J18" s="7"/>
      <c r="K18" s="7"/>
    </row>
    <row r="19" spans="1:11" x14ac:dyDescent="0.25">
      <c r="E19" s="6"/>
      <c r="F19" s="6"/>
      <c r="I19" s="7"/>
      <c r="J19" s="7"/>
      <c r="K19" s="7"/>
    </row>
  </sheetData>
  <mergeCells count="1">
    <mergeCell ref="A1:K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A13453D9FCF449C164C22E96F7457" ma:contentTypeVersion="12" ma:contentTypeDescription="Crear nuevo documento." ma:contentTypeScope="" ma:versionID="7d0431d34f96f7b643364bc9ad155e9c">
  <xsd:schema xmlns:xsd="http://www.w3.org/2001/XMLSchema" xmlns:xs="http://www.w3.org/2001/XMLSchema" xmlns:p="http://schemas.microsoft.com/office/2006/metadata/properties" xmlns:ns2="20023a54-7c36-4e86-bf34-242dee51d4ed" xmlns:ns3="fcd340d3-9f5f-48dd-8d5c-2217be56346f" targetNamespace="http://schemas.microsoft.com/office/2006/metadata/properties" ma:root="true" ma:fieldsID="9e2ba54ca19ab108e92dff04cbfd4dfd" ns2:_="" ns3:_="">
    <xsd:import namespace="20023a54-7c36-4e86-bf34-242dee51d4ed"/>
    <xsd:import namespace="fcd340d3-9f5f-48dd-8d5c-2217be563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23a54-7c36-4e86-bf34-242dee51d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191159f-8112-44b1-bda9-241b5cda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340d3-9f5f-48dd-8d5c-2217be5634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bb92ec7-c8a9-4f21-b6f5-3fa148b0058d}" ma:internalName="TaxCatchAll" ma:showField="CatchAllData" ma:web="fcd340d3-9f5f-48dd-8d5c-2217be5634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340d3-9f5f-48dd-8d5c-2217be56346f" xsi:nil="true"/>
    <lcf76f155ced4ddcb4097134ff3c332f xmlns="20023a54-7c36-4e86-bf34-242dee51d4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DD4684-CFA4-4E6E-A8DB-371607D709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D6B879-B726-4C88-B1DE-E261D0219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23a54-7c36-4e86-bf34-242dee51d4ed"/>
    <ds:schemaRef ds:uri="fcd340d3-9f5f-48dd-8d5c-2217be5634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52D4A5-1F98-48C9-BD18-2242BF1EE4AB}">
  <ds:schemaRefs>
    <ds:schemaRef ds:uri="http://schemas.microsoft.com/office/2006/metadata/properties"/>
    <ds:schemaRef ds:uri="http://schemas.microsoft.com/office/infopath/2007/PartnerControls"/>
    <ds:schemaRef ds:uri="fcd340d3-9f5f-48dd-8d5c-2217be56346f"/>
    <ds:schemaRef ds:uri="20023a54-7c36-4e86-bf34-242dee51d4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PRODUCTIVIDAD</vt:lpstr>
      <vt:lpstr>LISTA CICLOS</vt:lpstr>
      <vt:lpstr>LOTE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Jhonatan Fulguera</cp:lastModifiedBy>
  <cp:revision/>
  <dcterms:created xsi:type="dcterms:W3CDTF">2026-06-08T20:13:42Z</dcterms:created>
  <dcterms:modified xsi:type="dcterms:W3CDTF">2026-06-29T18:40:41Z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0x01010055FA13453D9FCF449C164C22E96F7457</vt:lpwstr>
  </property>
  <property fmtid="{D5CDD505-2E9C-101B-9397-08002B2CF9AE}" pid="3" name="MediaServiceImageTags">
    <vt:lpwstr/>
  </property>
</Properties>
</file>